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26F75AD9-A814-E94E-A705-DB1A3EFB125E}" xr6:coauthVersionLast="47" xr6:coauthVersionMax="47" xr10:uidLastSave="{00000000-0000-0000-0000-000000000000}"/>
  <bookViews>
    <workbookView xWindow="0" yWindow="780" windowWidth="30240" windowHeight="17140" activeTab="2" xr2:uid="{1D111BDF-EAD8-A94F-AA28-88CC9649B22F}"/>
  </bookViews>
  <sheets>
    <sheet name="medium" sheetId="1" r:id="rId1"/>
    <sheet name="mold_type" sheetId="3" r:id="rId2"/>
    <sheet name="genotype" sheetId="4" r:id="rId3"/>
    <sheet name="start_age_hpf" sheetId="6" r:id="rId4"/>
    <sheet name="series_number_map" sheetId="9" r:id="rId5"/>
    <sheet name="start_age_morph" sheetId="8" r:id="rId6"/>
    <sheet name="embryos_per_well" sheetId="7" r:id="rId7"/>
    <sheet name="chem_perturbation" sheetId="5" r:id="rId8"/>
    <sheet name="temperature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M7" i="9"/>
  <c r="M6" i="9" s="1"/>
  <c r="M5" i="9" s="1"/>
  <c r="M4" i="9" s="1"/>
  <c r="M3" i="9" s="1"/>
  <c r="M2" i="9" s="1"/>
  <c r="M8" i="9"/>
  <c r="L4" i="9"/>
  <c r="L5" i="9" s="1"/>
  <c r="L6" i="9" s="1"/>
  <c r="L7" i="9" s="1"/>
  <c r="L8" i="9" s="1"/>
  <c r="L9" i="9" s="1"/>
  <c r="L3" i="9"/>
  <c r="K7" i="9"/>
  <c r="K6" i="9" s="1"/>
  <c r="K5" i="9" s="1"/>
  <c r="K4" i="9" s="1"/>
  <c r="K3" i="9" s="1"/>
  <c r="K2" i="9" s="1"/>
  <c r="K8" i="9"/>
  <c r="J4" i="9"/>
  <c r="J5" i="9" s="1"/>
  <c r="J6" i="9" s="1"/>
  <c r="J7" i="9" s="1"/>
  <c r="J8" i="9" s="1"/>
  <c r="J9" i="9" s="1"/>
  <c r="J3" i="9"/>
  <c r="I7" i="9"/>
  <c r="I6" i="9" s="1"/>
  <c r="I5" i="9" s="1"/>
  <c r="I4" i="9" s="1"/>
  <c r="I3" i="9" s="1"/>
  <c r="I2" i="9" s="1"/>
  <c r="I8" i="9"/>
  <c r="H4" i="9"/>
  <c r="H5" i="9" s="1"/>
  <c r="H6" i="9" s="1"/>
  <c r="H7" i="9" s="1"/>
  <c r="H8" i="9" s="1"/>
  <c r="H9" i="9" s="1"/>
  <c r="H3" i="9"/>
  <c r="G7" i="9"/>
  <c r="G6" i="9" s="1"/>
  <c r="G5" i="9" s="1"/>
  <c r="G4" i="9" s="1"/>
  <c r="G3" i="9" s="1"/>
  <c r="G2" i="9" s="1"/>
  <c r="G8" i="9"/>
  <c r="F6" i="9"/>
  <c r="F7" i="9" s="1"/>
  <c r="F8" i="9" s="1"/>
  <c r="F9" i="9" s="1"/>
  <c r="F5" i="9"/>
</calcChain>
</file>

<file path=xl/sharedStrings.xml><?xml version="1.0" encoding="utf-8"?>
<sst xmlns="http://schemas.openxmlformats.org/spreadsheetml/2006/main" count="362" uniqueCount="13">
  <si>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</si>
  <si>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</si>
  <si>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</si>
  <si>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</si>
  <si>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</si>
  <si>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</si>
  <si>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</si>
  <si>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</si>
  <si>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</si>
  <si>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</si>
  <si>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>tbd cep290s</t>
  </si>
  <si>
    <t>failed</t>
  </si>
  <si>
    <t>cep290_unknown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</si>
</sst>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Normal" xfId="0" builtinId="0"/>
    <cellStyle name="Normal 2" xfId="1" xr:uid="{EED4C45B-E532-9A47-8954-E433DAA4E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1"/>
  <sheetViews>
    <sheetView tabSelected="1" workbookViewId="0">
      <selection activeCell="B2" sqref="B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</row>
    <row r="3" spans="1:13" x14ac:dyDescent="0.2">
      <c r="A3" t="s">
        <v>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</row>
    <row r="4" spans="1:13" x14ac:dyDescent="0.2">
      <c r="A4" t="s">
        <v>2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</row>
    <row r="5" spans="1:13" x14ac:dyDescent="0.2">
      <c r="A5" t="s">
        <v>3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</row>
    <row r="6" spans="1:13" x14ac:dyDescent="0.2">
      <c r="A6" t="s">
        <v>4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2" t="s">
        <v>12</v>
      </c>
      <c r="M6" s="2" t="s">
        <v>12</v>
      </c>
    </row>
    <row r="7" spans="1:13" x14ac:dyDescent="0.2">
      <c r="A7" t="s">
        <v>5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2" t="s">
        <v>12</v>
      </c>
      <c r="M7" s="2" t="s">
        <v>12</v>
      </c>
    </row>
    <row r="8" spans="1:13" x14ac:dyDescent="0.2">
      <c r="A8" t="s">
        <v>6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</row>
    <row r="9" spans="1:13" x14ac:dyDescent="0.2">
      <c r="A9" t="s">
        <v>7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</row>
    <row r="10" spans="1:13" x14ac:dyDescent="0.2">
      <c r="B10" t="s">
        <v>10</v>
      </c>
      <c r="C10" s="2" t="s">
        <v>11</v>
      </c>
    </row>
    <row r="11" spans="1:13" x14ac:dyDescent="0.2">
      <c r="C11">
        <f>SUM(C1:C10)</f>
        <v>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</row>
    <row r="3" spans="1:13" x14ac:dyDescent="0.2">
      <c r="A3" t="s">
        <v>1</v>
      </c>
      <c r="B3">
        <v>12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</row>
    <row r="4" spans="1:13" x14ac:dyDescent="0.2">
      <c r="A4" t="s">
        <v>2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</row>
    <row r="5" spans="1:13" x14ac:dyDescent="0.2">
      <c r="A5" t="s">
        <v>3</v>
      </c>
      <c r="B5">
        <v>12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</row>
    <row r="6" spans="1:13" x14ac:dyDescent="0.2">
      <c r="A6" t="s">
        <v>4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</row>
    <row r="7" spans="1:13" x14ac:dyDescent="0.2">
      <c r="A7" t="s">
        <v>5</v>
      </c>
      <c r="B7">
        <v>12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</row>
    <row r="8" spans="1:13" x14ac:dyDescent="0.2">
      <c r="A8" t="s">
        <v>6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</row>
    <row r="9" spans="1:13" x14ac:dyDescent="0.2">
      <c r="A9" t="s">
        <v>7</v>
      </c>
      <c r="B9">
        <v>12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M9" sqref="M9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f t="shared" ref="G2:G7" si="0">G3+1</f>
        <v>48</v>
      </c>
      <c r="H2" s="1">
        <v>49</v>
      </c>
      <c r="I2" s="1">
        <f t="shared" ref="I2:I7" si="1">I3+1</f>
        <v>64</v>
      </c>
      <c r="J2" s="1">
        <v>65</v>
      </c>
      <c r="K2" s="1">
        <f t="shared" ref="K2:K7" si="2">K3+1</f>
        <v>80</v>
      </c>
      <c r="L2" s="1">
        <v>81</v>
      </c>
      <c r="M2" s="1">
        <f t="shared" ref="M2:M7" si="3">M3+1</f>
        <v>96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f t="shared" si="0"/>
        <v>47</v>
      </c>
      <c r="H3" s="1">
        <f>H2+1</f>
        <v>50</v>
      </c>
      <c r="I3" s="1">
        <f t="shared" si="1"/>
        <v>63</v>
      </c>
      <c r="J3" s="1">
        <f>J2+1</f>
        <v>66</v>
      </c>
      <c r="K3" s="1">
        <f t="shared" si="2"/>
        <v>79</v>
      </c>
      <c r="L3" s="1">
        <f>L2+1</f>
        <v>82</v>
      </c>
      <c r="M3" s="1">
        <f t="shared" si="3"/>
        <v>95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f t="shared" si="0"/>
        <v>46</v>
      </c>
      <c r="H4" s="1">
        <f t="shared" ref="H4:H9" si="4">H3+1</f>
        <v>51</v>
      </c>
      <c r="I4" s="1">
        <f t="shared" si="1"/>
        <v>62</v>
      </c>
      <c r="J4" s="1">
        <f t="shared" ref="J4:J9" si="5">J3+1</f>
        <v>67</v>
      </c>
      <c r="K4" s="1">
        <f t="shared" si="2"/>
        <v>78</v>
      </c>
      <c r="L4" s="1">
        <f t="shared" ref="L4:L9" si="6">L3+1</f>
        <v>83</v>
      </c>
      <c r="M4" s="1">
        <f t="shared" si="3"/>
        <v>94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f>F4+1</f>
        <v>36</v>
      </c>
      <c r="G5" s="1">
        <f t="shared" si="0"/>
        <v>45</v>
      </c>
      <c r="H5" s="1">
        <f t="shared" si="4"/>
        <v>52</v>
      </c>
      <c r="I5" s="1">
        <f t="shared" si="1"/>
        <v>61</v>
      </c>
      <c r="J5" s="1">
        <f t="shared" si="5"/>
        <v>68</v>
      </c>
      <c r="K5" s="1">
        <f t="shared" si="2"/>
        <v>77</v>
      </c>
      <c r="L5" s="1">
        <f t="shared" si="6"/>
        <v>84</v>
      </c>
      <c r="M5" s="1">
        <f t="shared" si="3"/>
        <v>93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f t="shared" ref="F6:F9" si="7">F5+1</f>
        <v>37</v>
      </c>
      <c r="G6" s="1">
        <f t="shared" si="0"/>
        <v>44</v>
      </c>
      <c r="H6" s="1">
        <f t="shared" si="4"/>
        <v>53</v>
      </c>
      <c r="I6" s="1">
        <f t="shared" si="1"/>
        <v>60</v>
      </c>
      <c r="J6" s="1">
        <f t="shared" si="5"/>
        <v>69</v>
      </c>
      <c r="K6" s="1">
        <f t="shared" si="2"/>
        <v>76</v>
      </c>
      <c r="L6" s="1">
        <f t="shared" si="6"/>
        <v>85</v>
      </c>
      <c r="M6" s="1">
        <f t="shared" si="3"/>
        <v>92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f t="shared" si="7"/>
        <v>38</v>
      </c>
      <c r="G7" s="1">
        <f t="shared" si="0"/>
        <v>43</v>
      </c>
      <c r="H7" s="1">
        <f t="shared" si="4"/>
        <v>54</v>
      </c>
      <c r="I7" s="1">
        <f t="shared" si="1"/>
        <v>59</v>
      </c>
      <c r="J7" s="1">
        <f t="shared" si="5"/>
        <v>70</v>
      </c>
      <c r="K7" s="1">
        <f t="shared" si="2"/>
        <v>75</v>
      </c>
      <c r="L7" s="1">
        <f t="shared" si="6"/>
        <v>86</v>
      </c>
      <c r="M7" s="1">
        <f t="shared" si="3"/>
        <v>91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f t="shared" si="7"/>
        <v>39</v>
      </c>
      <c r="G8" s="1">
        <f>G9+1</f>
        <v>42</v>
      </c>
      <c r="H8" s="1">
        <f t="shared" si="4"/>
        <v>55</v>
      </c>
      <c r="I8" s="1">
        <f>I9+1</f>
        <v>58</v>
      </c>
      <c r="J8" s="1">
        <f t="shared" si="5"/>
        <v>71</v>
      </c>
      <c r="K8" s="1">
        <f>K9+1</f>
        <v>74</v>
      </c>
      <c r="L8" s="1">
        <f t="shared" si="6"/>
        <v>87</v>
      </c>
      <c r="M8" s="1">
        <f>M9+1</f>
        <v>90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f t="shared" si="7"/>
        <v>40</v>
      </c>
      <c r="G9" s="1">
        <v>41</v>
      </c>
      <c r="H9" s="1">
        <f t="shared" si="4"/>
        <v>56</v>
      </c>
      <c r="I9" s="1">
        <v>57</v>
      </c>
      <c r="J9" s="1">
        <f t="shared" si="5"/>
        <v>72</v>
      </c>
      <c r="K9" s="1">
        <v>73</v>
      </c>
      <c r="L9" s="1">
        <f t="shared" si="6"/>
        <v>88</v>
      </c>
      <c r="M9" s="1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E14" sqref="E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R28" sqref="R28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F86B-8022-C74B-A47C-4860A5B03C79}">
  <dimension ref="A1:M9"/>
  <sheetViews>
    <sheetView workbookViewId="0">
      <selection activeCell="K14" sqref="K14"/>
    </sheetView>
  </sheetViews>
  <sheetFormatPr baseColWidth="10" defaultRowHeight="16" x14ac:dyDescent="0.2"/>
  <cols>
    <col min="1" max="16384" width="10.83203125" style="3"/>
  </cols>
  <sheetData>
    <row r="1" spans="1:13" x14ac:dyDescent="0.2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x14ac:dyDescent="0.2">
      <c r="A2" s="3" t="s">
        <v>0</v>
      </c>
      <c r="B2" s="3">
        <v>30</v>
      </c>
      <c r="C2" s="3">
        <v>30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</row>
    <row r="3" spans="1:13" x14ac:dyDescent="0.2">
      <c r="A3" s="3" t="s">
        <v>1</v>
      </c>
      <c r="B3" s="3">
        <v>30</v>
      </c>
      <c r="C3" s="3">
        <v>30</v>
      </c>
      <c r="D3" s="3">
        <v>30</v>
      </c>
      <c r="E3" s="3">
        <v>30</v>
      </c>
      <c r="F3" s="3">
        <v>30</v>
      </c>
      <c r="G3" s="3">
        <v>30</v>
      </c>
      <c r="H3" s="3">
        <v>30</v>
      </c>
      <c r="I3" s="3">
        <v>30</v>
      </c>
      <c r="J3" s="3">
        <v>30</v>
      </c>
      <c r="K3" s="3">
        <v>30</v>
      </c>
      <c r="L3" s="3">
        <v>30</v>
      </c>
      <c r="M3" s="3">
        <v>30</v>
      </c>
    </row>
    <row r="4" spans="1:13" x14ac:dyDescent="0.2">
      <c r="A4" s="3" t="s">
        <v>2</v>
      </c>
      <c r="B4" s="3">
        <v>30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</row>
    <row r="5" spans="1:13" x14ac:dyDescent="0.2">
      <c r="A5" s="3" t="s">
        <v>3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</row>
    <row r="6" spans="1:13" x14ac:dyDescent="0.2">
      <c r="A6" s="3" t="s">
        <v>4</v>
      </c>
      <c r="B6" s="3">
        <v>30</v>
      </c>
      <c r="C6" s="3">
        <v>30</v>
      </c>
      <c r="D6" s="3">
        <v>30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30</v>
      </c>
      <c r="K6" s="3">
        <v>30</v>
      </c>
      <c r="L6" s="3">
        <v>30</v>
      </c>
      <c r="M6" s="3">
        <v>30</v>
      </c>
    </row>
    <row r="7" spans="1:13" x14ac:dyDescent="0.2">
      <c r="A7" s="3" t="s">
        <v>5</v>
      </c>
      <c r="B7" s="3">
        <v>30</v>
      </c>
      <c r="C7" s="3">
        <v>30</v>
      </c>
      <c r="D7" s="3">
        <v>30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30</v>
      </c>
      <c r="K7" s="3">
        <v>30</v>
      </c>
      <c r="L7" s="3">
        <v>30</v>
      </c>
      <c r="M7" s="3">
        <v>30</v>
      </c>
    </row>
    <row r="8" spans="1:13" x14ac:dyDescent="0.2">
      <c r="A8" s="3" t="s">
        <v>6</v>
      </c>
      <c r="B8" s="3">
        <v>30</v>
      </c>
      <c r="C8" s="3">
        <v>30</v>
      </c>
      <c r="D8" s="3">
        <v>30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30</v>
      </c>
      <c r="K8" s="3">
        <v>30</v>
      </c>
      <c r="L8" s="3">
        <v>30</v>
      </c>
      <c r="M8" s="3">
        <v>30</v>
      </c>
    </row>
    <row r="9" spans="1:13" x14ac:dyDescent="0.2">
      <c r="A9" s="3" t="s">
        <v>7</v>
      </c>
      <c r="B9" s="3">
        <v>30</v>
      </c>
      <c r="C9" s="3">
        <v>30</v>
      </c>
      <c r="D9" s="3">
        <v>30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  <c r="L9" s="3">
        <v>30</v>
      </c>
      <c r="M9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start_age_hpf</vt:lpstr>
      <vt:lpstr>series_number_map</vt:lpstr>
      <vt:lpstr>start_age_morph</vt:lpstr>
      <vt:lpstr>embryos_per_well</vt:lpstr>
      <vt:lpstr>chem_perturbation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2025-09-19T19:51:58Z</dcterms:modified>
</cp:coreProperties>
</file>